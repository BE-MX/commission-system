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DK\Desktop\"/>
    </mc:Choice>
  </mc:AlternateContent>
  <bookViews>
    <workbookView windowWidth="18353" windowHeight="8346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<sst xmlns="http://schemas.openxmlformats.org/spreadsheetml/2006/main" count="38" uniqueCount="32">
  <si>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 xml:space="preserve">
</t>
  </si>
  <si>
    <r>
      <rPr>
        <b/>
        <sz val="14"/>
        <rFont val="Arial"/>
        <charset val="134"/>
      </rPr>
      <t>To</t>
    </r>
    <r>
      <rPr>
        <b/>
        <sz val="14"/>
        <rFont val="宋体"/>
        <charset val="134"/>
      </rPr>
      <t>：</t>
    </r>
  </si>
  <si>
    <r>
      <rPr>
        <b/>
        <sz val="14"/>
        <rFont val="Arial"/>
        <charset val="134"/>
      </rPr>
      <t>From</t>
    </r>
    <r>
      <rPr>
        <b/>
        <sz val="14"/>
        <rFont val="宋体"/>
        <charset val="134"/>
      </rPr>
      <t>：</t>
    </r>
  </si>
  <si>
    <t>Derek</t>
  </si>
  <si>
    <r>
      <rPr>
        <b/>
        <sz val="14"/>
        <rFont val="Arial"/>
        <charset val="134"/>
      </rPr>
      <t>TEL/Fax</t>
    </r>
    <r>
      <rPr>
        <b/>
        <sz val="14"/>
        <rFont val="宋体"/>
        <charset val="134"/>
      </rPr>
      <t>：</t>
    </r>
  </si>
  <si>
    <r>
      <rPr>
        <b/>
        <sz val="14"/>
        <rFont val="Arial"/>
        <charset val="134"/>
      </rPr>
      <t>TEL</t>
    </r>
    <r>
      <rPr>
        <b/>
        <sz val="14"/>
        <rFont val="宋体"/>
        <charset val="134"/>
      </rPr>
      <t>：</t>
    </r>
  </si>
  <si>
    <t>+86 16678696582</t>
  </si>
  <si>
    <r>
      <rPr>
        <b/>
        <sz val="14"/>
        <rFont val="Arial"/>
        <charset val="134"/>
      </rPr>
      <t>E-mail</t>
    </r>
    <r>
      <rPr>
        <b/>
        <sz val="14"/>
        <rFont val="宋体"/>
        <charset val="134"/>
      </rPr>
      <t>：</t>
    </r>
  </si>
  <si>
    <r>
      <rPr>
        <b/>
        <sz val="12"/>
        <rFont val="Arial"/>
        <charset val="134"/>
      </rPr>
      <t>E-mail</t>
    </r>
    <r>
      <rPr>
        <b/>
        <sz val="12"/>
        <rFont val="宋体"/>
        <charset val="134"/>
      </rPr>
      <t>：</t>
    </r>
  </si>
  <si>
    <t>derek@leshinehair.com</t>
  </si>
  <si>
    <r>
      <rPr>
        <b/>
        <sz val="14"/>
        <rFont val="Arial"/>
        <charset val="134"/>
      </rPr>
      <t>Delivery 
   address</t>
    </r>
    <r>
      <rPr>
        <b/>
        <sz val="14"/>
        <rFont val="宋体"/>
        <charset val="134"/>
      </rPr>
      <t>：</t>
    </r>
  </si>
  <si>
    <r>
      <rPr>
        <b/>
        <sz val="14"/>
        <rFont val="Arial"/>
        <charset val="134"/>
      </rPr>
      <t>Date</t>
    </r>
    <r>
      <rPr>
        <b/>
        <sz val="14"/>
        <rFont val="宋体"/>
        <charset val="134"/>
      </rPr>
      <t>：</t>
    </r>
  </si>
  <si>
    <r>
      <rPr>
        <b/>
        <sz val="14"/>
        <rFont val="Arial"/>
        <charset val="134"/>
      </rPr>
      <t xml:space="preserve"> No.</t>
    </r>
    <r>
      <rPr>
        <b/>
        <sz val="14"/>
        <rFont val="宋体"/>
        <charset val="134"/>
      </rPr>
      <t>：</t>
    </r>
  </si>
  <si>
    <t>Product</t>
  </si>
  <si>
    <t>Length</t>
  </si>
  <si>
    <t>Color</t>
  </si>
  <si>
    <t>Weight</t>
  </si>
  <si>
    <t>Quantity</t>
  </si>
  <si>
    <t>Unit Price</t>
  </si>
  <si>
    <t xml:space="preserve">Total Price                </t>
  </si>
  <si>
    <t>Super Double Drawn Genius Weft</t>
  </si>
  <si>
    <t>#9ATP9A/613</t>
  </si>
  <si>
    <t>20g</t>
  </si>
  <si>
    <t>#8</t>
  </si>
  <si>
    <t>#2B</t>
  </si>
  <si>
    <t>#4TP8/18</t>
  </si>
  <si>
    <t>Hair Cost</t>
  </si>
  <si>
    <t>Shipping Cost</t>
  </si>
  <si>
    <t>Payment Surcharge</t>
  </si>
  <si>
    <t>Total</t>
  </si>
  <si>
    <t>Paymetn term</t>
  </si>
  <si>
    <t>PayPal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</si>
</sst>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00000"/>
    <numFmt numFmtId="178" formatCode="yyyy/m/d;@"/>
    <numFmt numFmtId="179" formatCode="0.00_ "/>
  </numFmts>
  <fonts count="5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Arial"/>
      <charset val="134"/>
    </font>
    <font>
      <sz val="14"/>
      <name val="Arial"/>
      <charset val="134"/>
    </font>
    <font>
      <b/>
      <sz val="14"/>
      <name val="Arial"/>
      <charset val="134"/>
    </font>
    <font>
      <b/>
      <sz val="10"/>
      <name val="Arial"/>
      <charset val="134"/>
    </font>
    <font>
      <b/>
      <sz val="12"/>
      <name val="Arial"/>
      <charset val="134"/>
    </font>
    <font>
      <u/>
      <sz val="11"/>
      <name val="宋体"/>
      <charset val="134"/>
      <scheme val="minor"/>
    </font>
    <font>
      <sz val="9"/>
      <name val="Arial"/>
      <charset val="134"/>
    </font>
    <font>
      <u/>
      <sz val="11"/>
      <color rgb="FF0000FF"/>
      <name val="宋体"/>
      <charset val="134"/>
      <scheme val="minor"/>
    </font>
    <font>
      <b/>
      <u/>
      <sz val="10"/>
      <name val="Arial"/>
      <charset val="134"/>
    </font>
    <font>
      <b/>
      <u/>
      <sz val="11"/>
      <name val="Arial"/>
      <charset val="134"/>
    </font>
    <font>
      <b/>
      <u/>
      <sz val="11"/>
      <name val="Arial Regular"/>
      <charset val="134"/>
    </font>
    <font>
      <b/>
      <u/>
      <sz val="9"/>
      <name val="Arial"/>
      <charset val="134"/>
    </font>
    <font>
      <b/>
      <sz val="16"/>
      <name val="Arial"/>
      <charset val="134"/>
    </font>
    <font>
      <b/>
      <sz val="16"/>
      <name val="宋体-简"/>
      <charset val="134"/>
    </font>
    <font>
      <b/>
      <sz val="11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indexed="52"/>
      <name val="Tahoma"/>
      <charset val="134"/>
    </font>
    <font>
      <sz val="11"/>
      <color indexed="8"/>
      <name val="Tahoma"/>
      <charset val="134"/>
    </font>
    <font>
      <b/>
      <sz val="11"/>
      <color indexed="63"/>
      <name val="Tahoma"/>
      <charset val="134"/>
    </font>
    <font>
      <sz val="11"/>
      <color indexed="60"/>
      <name val="Tahoma"/>
      <charset val="134"/>
    </font>
    <font>
      <sz val="11"/>
      <color indexed="9"/>
      <name val="Tahoma"/>
      <charset val="134"/>
    </font>
    <font>
      <sz val="11"/>
      <color indexed="62"/>
      <name val="Tahoma"/>
      <charset val="134"/>
    </font>
    <font>
      <sz val="11"/>
      <color indexed="14"/>
      <name val="Tahoma"/>
      <charset val="134"/>
    </font>
    <font>
      <b/>
      <sz val="11"/>
      <color indexed="62"/>
      <name val="Tahoma"/>
      <charset val="134"/>
    </font>
    <font>
      <b/>
      <sz val="18"/>
      <color indexed="62"/>
      <name val="宋体"/>
      <charset val="134"/>
    </font>
    <font>
      <sz val="10"/>
      <name val="Verdana"/>
      <charset val="134"/>
    </font>
    <font>
      <sz val="11"/>
      <color indexed="17"/>
      <name val="Tahoma"/>
      <charset val="134"/>
    </font>
    <font>
      <b/>
      <sz val="11"/>
      <color indexed="9"/>
      <name val="Tahoma"/>
      <charset val="134"/>
    </font>
    <font>
      <sz val="11"/>
      <color indexed="10"/>
      <name val="Tahoma"/>
      <charset val="134"/>
    </font>
    <font>
      <sz val="11"/>
      <color indexed="52"/>
      <name val="Tahoma"/>
      <charset val="134"/>
    </font>
    <font>
      <i/>
      <sz val="11"/>
      <color indexed="23"/>
      <name val="Tahoma"/>
      <charset val="134"/>
    </font>
    <font>
      <b/>
      <sz val="13"/>
      <color indexed="62"/>
      <name val="Tahoma"/>
      <charset val="134"/>
    </font>
    <font>
      <b/>
      <sz val="15"/>
      <color indexed="62"/>
      <name val="Tahoma"/>
      <charset val="134"/>
    </font>
    <font>
      <b/>
      <sz val="11"/>
      <color indexed="8"/>
      <name val="Tahoma"/>
      <charset val="134"/>
    </font>
    <font>
      <b/>
      <sz val="14"/>
      <name val="宋体"/>
      <charset val="134"/>
    </font>
    <font>
      <b/>
      <sz val="12"/>
      <name val="宋体"/>
      <charset val="134"/>
    </font>
  </fonts>
  <fills count="4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9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14" applyNumberFormat="0" applyAlignment="0" applyProtection="0">
      <alignment vertical="center"/>
    </xf>
    <xf numFmtId="0" fontId="25" fillId="5" borderId="15" applyNumberFormat="0" applyAlignment="0" applyProtection="0">
      <alignment vertical="center"/>
    </xf>
    <xf numFmtId="0" fontId="26" fillId="5" borderId="14" applyNumberFormat="0" applyAlignment="0" applyProtection="0">
      <alignment vertical="center"/>
    </xf>
    <xf numFmtId="0" fontId="27" fillId="6" borderId="16" applyNumberFormat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5" fillId="34" borderId="19" applyNumberFormat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4" borderId="20" applyNumberFormat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0" fillId="36" borderId="19" applyNumberFormat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44" fillId="0" borderId="0"/>
    <xf numFmtId="0" fontId="45" fillId="42" borderId="0" applyNumberFormat="0" applyBorder="0" applyAlignment="0" applyProtection="0">
      <alignment vertical="center"/>
    </xf>
    <xf numFmtId="0" fontId="46" fillId="43" borderId="22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44" fillId="46" borderId="24" applyNumberFormat="0" applyFont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50" fillId="0" borderId="25" applyNumberFormat="0" applyFill="0" applyAlignment="0" applyProtection="0">
      <alignment vertical="center"/>
    </xf>
    <xf numFmtId="0" fontId="0" fillId="0" borderId="0">
      <alignment vertical="center"/>
    </xf>
    <xf numFmtId="0" fontId="36" fillId="34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51" fillId="0" borderId="26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52" fillId="0" borderId="27" applyNumberFormat="0" applyFill="0" applyAlignment="0" applyProtection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76" fontId="2" fillId="0" borderId="0" xfId="0" applyNumberFormat="1" applyFont="1">
      <alignment vertical="center"/>
    </xf>
    <xf numFmtId="0" fontId="3" fillId="0" borderId="1" xfId="66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0" borderId="1" xfId="66" applyNumberFormat="1" applyFont="1" applyBorder="1" applyAlignment="1">
      <alignment horizontal="center" vertical="center" wrapText="1"/>
    </xf>
    <xf numFmtId="0" fontId="5" fillId="0" borderId="1" xfId="66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5" fillId="0" borderId="1" xfId="66" applyNumberFormat="1" applyFont="1" applyBorder="1" applyAlignment="1">
      <alignment horizontal="center" vertical="center"/>
    </xf>
    <xf numFmtId="177" fontId="6" fillId="0" borderId="3" xfId="0" applyNumberFormat="1" applyFont="1" applyBorder="1" applyAlignment="1">
      <alignment horizontal="center" vertical="center"/>
    </xf>
    <xf numFmtId="177" fontId="6" fillId="0" borderId="4" xfId="0" applyNumberFormat="1" applyFont="1" applyBorder="1" applyAlignment="1">
      <alignment horizontal="center" vertical="center"/>
    </xf>
    <xf numFmtId="0" fontId="7" fillId="0" borderId="1" xfId="6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66" applyNumberFormat="1" applyFont="1" applyBorder="1" applyAlignment="1">
      <alignment horizontal="center" vertical="center" wrapText="1"/>
    </xf>
    <xf numFmtId="176" fontId="9" fillId="0" borderId="1" xfId="6" applyNumberFormat="1" applyBorder="1" applyAlignment="1">
      <alignment horizontal="center" vertical="center"/>
    </xf>
    <xf numFmtId="176" fontId="10" fillId="0" borderId="1" xfId="6" applyNumberFormat="1" applyFont="1" applyFill="1" applyBorder="1" applyAlignment="1" applyProtection="1">
      <alignment horizontal="center" vertical="center" wrapText="1"/>
    </xf>
    <xf numFmtId="0" fontId="4" fillId="0" borderId="2" xfId="66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66" applyNumberFormat="1" applyFont="1" applyBorder="1" applyAlignment="1">
      <alignment horizontal="center" vertical="center" wrapText="1"/>
    </xf>
    <xf numFmtId="178" fontId="6" fillId="0" borderId="3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horizontal="center" vertical="center"/>
    </xf>
    <xf numFmtId="0" fontId="4" fillId="0" borderId="6" xfId="66" applyNumberFormat="1" applyFont="1" applyBorder="1" applyAlignment="1">
      <alignment horizontal="center" vertical="center"/>
    </xf>
    <xf numFmtId="0" fontId="4" fillId="0" borderId="1" xfId="66" applyNumberFormat="1" applyFont="1" applyBorder="1" applyAlignment="1">
      <alignment horizontal="center" vertical="center"/>
    </xf>
    <xf numFmtId="176" fontId="6" fillId="0" borderId="3" xfId="66" applyNumberFormat="1" applyFont="1" applyBorder="1" applyAlignment="1">
      <alignment horizontal="center" vertical="center" wrapText="1"/>
    </xf>
    <xf numFmtId="176" fontId="6" fillId="0" borderId="4" xfId="66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11" fillId="0" borderId="1" xfId="66" applyNumberFormat="1" applyFont="1" applyBorder="1" applyAlignment="1">
      <alignment horizontal="center" vertical="center" wrapText="1"/>
    </xf>
    <xf numFmtId="0" fontId="12" fillId="0" borderId="1" xfId="66" applyNumberFormat="1" applyFont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13" fillId="0" borderId="1" xfId="66" applyNumberFormat="1" applyFont="1" applyFill="1" applyBorder="1" applyAlignment="1">
      <alignment horizontal="center" vertical="center" wrapText="1"/>
    </xf>
    <xf numFmtId="0" fontId="11" fillId="0" borderId="1" xfId="66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179" fontId="11" fillId="2" borderId="1" xfId="66" applyNumberFormat="1" applyFont="1" applyFill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79" fontId="11" fillId="0" borderId="2" xfId="66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177" fontId="6" fillId="0" borderId="3" xfId="0" applyNumberFormat="1" applyFont="1" applyBorder="1" applyAlignment="1" quotePrefix="1">
      <alignment horizontal="center" vertical="center"/>
    </xf>
  </cellXfs>
  <cellStyles count="9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计算 2" xfId="49"/>
    <cellStyle name="40% - 强调文字颜色 4 2" xfId="50"/>
    <cellStyle name="40% - 强调文字颜色 2 2" xfId="51"/>
    <cellStyle name="输出 2" xfId="52"/>
    <cellStyle name="适中 2" xfId="53"/>
    <cellStyle name="强调文字颜色 1 2" xfId="54"/>
    <cellStyle name="输入 2" xfId="55"/>
    <cellStyle name="20% - 强调文字颜色 3 2" xfId="56"/>
    <cellStyle name="20% - 强调文字颜色 6 2" xfId="57"/>
    <cellStyle name="差 2" xfId="58"/>
    <cellStyle name="40% - 强调文字颜色 3 2" xfId="59"/>
    <cellStyle name="标题 3 2" xfId="60"/>
    <cellStyle name="60% - 强调文字颜色 1 2" xfId="61"/>
    <cellStyle name="标题 4 2" xfId="62"/>
    <cellStyle name="60% - 强调文字颜色 2 2" xfId="63"/>
    <cellStyle name="标题 5 2" xfId="64"/>
    <cellStyle name="60% - 强调文字颜色 3 2" xfId="65"/>
    <cellStyle name="常规 2" xfId="66"/>
    <cellStyle name="好 2" xfId="67"/>
    <cellStyle name="检查单元格 2" xfId="68"/>
    <cellStyle name="警告文本 2" xfId="69"/>
    <cellStyle name="链接单元格 2" xfId="70"/>
    <cellStyle name="强调文字颜色 2 2" xfId="71"/>
    <cellStyle name="强调文字颜色 3 2" xfId="72"/>
    <cellStyle name="强调文字颜色 4 2" xfId="73"/>
    <cellStyle name="注释 2" xfId="74"/>
    <cellStyle name="40% - 强调文字颜色 5 2" xfId="75"/>
    <cellStyle name="强调文字颜色 5 2" xfId="76"/>
    <cellStyle name="40% - 强调文字颜色 6 2" xfId="77"/>
    <cellStyle name="解释性文本 2" xfId="78"/>
    <cellStyle name="强调文字颜色 6 2" xfId="79"/>
    <cellStyle name="20% - 强调文字颜色 2 2" xfId="80"/>
    <cellStyle name="40% - 强调文字颜色 1 2" xfId="81"/>
    <cellStyle name="20% - 强调文字颜色 5 2" xfId="82"/>
    <cellStyle name="60% - 强调文字颜色 6 2" xfId="83"/>
    <cellStyle name="标题 2 2" xfId="84"/>
    <cellStyle name="常规 3" xfId="85"/>
    <cellStyle name="20% - 强调文字颜色 4 2" xfId="86"/>
    <cellStyle name="60% - 强调文字颜色 5 2" xfId="87"/>
    <cellStyle name="标题 1 2" xfId="88"/>
    <cellStyle name="标题 5" xfId="89"/>
    <cellStyle name="60% - 强调文字颜色 4 2" xfId="90"/>
    <cellStyle name="20% - 强调文字颜色 1 2" xfId="91"/>
    <cellStyle name="汇总 2" xfId="92"/>
  </cellStyles>
  <tableStyles count="0" defaultTableStyle="TableStyleMedium9" defaultPivotStyle="PivotStyleLight16"/>
  <colors>
    <mruColors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123825</xdr:colOff>
      <xdr:row>0</xdr:row>
      <xdr:rowOff>28575</xdr:rowOff>
    </xdr:from>
    <xdr:to>
      <xdr:col>6</xdr:col>
      <xdr:colOff>152399</xdr:colOff>
      <xdr:row>5</xdr:row>
      <xdr:rowOff>57150</xdr:rowOff>
    </xdr:to>
    <xdr:sp>
      <xdr:nvSpPr>
        <xdr:cNvPr id="5" name="TextBox 2"/>
        <xdr:cNvSpPr txBox="1"/>
      </xdr:nvSpPr>
      <xdr:spPr>
        <a:xfrm>
          <a:off x="2910840" y="28575"/>
          <a:ext cx="3735705" cy="1314450"/>
        </a:xfrm>
        <a:prstGeom prst="rect">
          <a:avLst/>
        </a:prstGeom>
        <a:solidFill>
          <a:schemeClr val="bg1">
            <a:alpha val="0"/>
          </a:schemeClr>
        </a:solidFill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600" b="1">
              <a:solidFill>
                <a:sysClr val="windowText" lastClr="000000"/>
              </a:solidFill>
            </a:rPr>
            <a:t>鄄城莱莎发制品有限公司  </a:t>
          </a:r>
          <a:r>
            <a:rPr lang="zh-CN" altLang="en-US" sz="1400" b="1">
              <a:solidFill>
                <a:sysClr val="windowText" lastClr="000000"/>
              </a:solidFill>
            </a:rPr>
            <a:t>                                            </a:t>
          </a:r>
          <a:endParaRPr lang="zh-CN" altLang="en-US" sz="1400" b="1">
            <a:solidFill>
              <a:sysClr val="windowText" lastClr="000000"/>
            </a:solidFill>
          </a:endParaRPr>
        </a:p>
        <a:p>
          <a:r>
            <a:rPr lang="en-US" altLang="zh-CN" sz="1600" b="1">
              <a:solidFill>
                <a:sysClr val="windowText" lastClr="000000"/>
              </a:solidFill>
            </a:rPr>
            <a:t>JUANCHENG LESHINE HAIR PRODUCTS CO., LTD</a:t>
          </a:r>
          <a:endParaRPr lang="en-US" altLang="zh-CN" sz="1600" b="1">
            <a:solidFill>
              <a:sysClr val="windowText" lastClr="000000"/>
            </a:solidFill>
          </a:endParaRPr>
        </a:p>
        <a:p>
          <a:r>
            <a:rPr lang="en-US" altLang="zh-CN" sz="1400">
              <a:solidFill>
                <a:sysClr val="windowText" lastClr="000000"/>
              </a:solidFill>
              <a:latin typeface="Arial" panose="020B0604020202020204" pitchFamily="7" charset="0"/>
            </a:rPr>
            <a:t>TEL/Fax: +86 532-80922908</a:t>
          </a:r>
          <a:endParaRPr lang="en-US" altLang="zh-CN" sz="1400">
            <a:solidFill>
              <a:sysClr val="windowText" lastClr="000000"/>
            </a:solidFill>
            <a:latin typeface="Arial" panose="020B0604020202020204" pitchFamily="7" charset="0"/>
          </a:endParaRPr>
        </a:p>
        <a:p>
          <a:r>
            <a:rPr lang="en-US" altLang="zh-CN" sz="1400">
              <a:solidFill>
                <a:sysClr val="windowText" lastClr="000000"/>
              </a:solidFill>
              <a:latin typeface="Arial" panose="020B0604020202020204" pitchFamily="7" charset="0"/>
            </a:rPr>
            <a:t>E-Mail: sales@leshinehair.com</a:t>
          </a:r>
          <a:endParaRPr lang="en-US" altLang="zh-CN" sz="1400">
            <a:solidFill>
              <a:sysClr val="windowText" lastClr="000000"/>
            </a:solidFill>
            <a:latin typeface="Arial" panose="020B0604020202020204" pitchFamily="7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>
              <a:solidFill>
                <a:schemeClr val="dk1"/>
              </a:solidFill>
              <a:latin typeface="Arial" panose="020B0604020202020204" pitchFamily="7" charset="0"/>
              <a:ea typeface="+mn-ea"/>
              <a:cs typeface="+mn-cs"/>
            </a:rPr>
            <a:t>Web:leshinehair.en.alibaba.com</a:t>
          </a:r>
          <a:endParaRPr lang="zh-CN" altLang="zh-CN" sz="1400">
            <a:solidFill>
              <a:schemeClr val="dk1"/>
            </a:solidFill>
            <a:latin typeface="Arial" panose="020B0604020202020204" pitchFamily="7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196850</xdr:colOff>
      <xdr:row>1</xdr:row>
      <xdr:rowOff>19685</xdr:rowOff>
    </xdr:from>
    <xdr:to>
      <xdr:col>1</xdr:col>
      <xdr:colOff>1741170</xdr:colOff>
      <xdr:row>4</xdr:row>
      <xdr:rowOff>40005</xdr:rowOff>
    </xdr:to>
    <xdr:pic>
      <xdr:nvPicPr>
        <xdr:cNvPr id="6" name="图片 5" descr="leshine 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2595" y="257810"/>
          <a:ext cx="1544320" cy="610870"/>
        </a:xfrm>
        <a:prstGeom prst="rect">
          <a:avLst/>
        </a:prstGeom>
      </xdr:spPr>
    </xdr:pic>
    <xdr:clientData/>
  </xdr:twoCellAnchor>
  <xdr:twoCellAnchor>
    <xdr:from>
      <xdr:col>6</xdr:col>
      <xdr:colOff>115570</xdr:colOff>
      <xdr:row>0</xdr:row>
      <xdr:rowOff>133350</xdr:rowOff>
    </xdr:from>
    <xdr:to>
      <xdr:col>7</xdr:col>
      <xdr:colOff>676275</xdr:colOff>
      <xdr:row>4</xdr:row>
      <xdr:rowOff>63500</xdr:rowOff>
    </xdr:to>
    <xdr:sp>
      <xdr:nvSpPr>
        <xdr:cNvPr id="7" name="文本框 6"/>
        <xdr:cNvSpPr txBox="1"/>
      </xdr:nvSpPr>
      <xdr:spPr>
        <a:xfrm>
          <a:off x="6610350" y="133350"/>
          <a:ext cx="1341120" cy="75882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400" b="1" u="sng"/>
            <a:t>Proforma </a:t>
          </a:r>
          <a:endParaRPr lang="en-US" altLang="zh-CN" sz="1400" b="1" u="sng"/>
        </a:p>
        <a:p>
          <a:pPr algn="l"/>
          <a:r>
            <a:rPr lang="en-US" altLang="zh-CN" sz="1400" b="1" u="sng"/>
            <a:t>Invoice</a:t>
          </a:r>
          <a:endParaRPr lang="en-US" altLang="zh-CN" sz="1200" b="1" u="sng"/>
        </a:p>
      </xdr:txBody>
    </xdr:sp>
    <xdr:clientData/>
  </xdr:twoCellAnchor>
  <xdr:twoCellAnchor>
    <xdr:from>
      <xdr:col>2</xdr:col>
      <xdr:colOff>123825</xdr:colOff>
      <xdr:row>0</xdr:row>
      <xdr:rowOff>28575</xdr:rowOff>
    </xdr:from>
    <xdr:to>
      <xdr:col>6</xdr:col>
      <xdr:colOff>152399</xdr:colOff>
      <xdr:row>5</xdr:row>
      <xdr:rowOff>57150</xdr:rowOff>
    </xdr:to>
    <xdr:sp>
      <xdr:nvSpPr>
        <xdr:cNvPr id="2" name="TextBox 2"/>
        <xdr:cNvSpPr txBox="1"/>
      </xdr:nvSpPr>
      <xdr:spPr>
        <a:xfrm>
          <a:off x="2910840" y="28575"/>
          <a:ext cx="3735705" cy="1314450"/>
        </a:xfrm>
        <a:prstGeom prst="rect">
          <a:avLst/>
        </a:prstGeom>
        <a:solidFill>
          <a:schemeClr val="bg1">
            <a:alpha val="0"/>
          </a:schemeClr>
        </a:solidFill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600" b="1">
              <a:solidFill>
                <a:sysClr val="windowText" lastClr="000000"/>
              </a:solidFill>
            </a:rPr>
            <a:t>鄄城莱莎发制品有限公司  </a:t>
          </a:r>
          <a:r>
            <a:rPr lang="zh-CN" altLang="en-US" sz="1400" b="1">
              <a:solidFill>
                <a:sysClr val="windowText" lastClr="000000"/>
              </a:solidFill>
            </a:rPr>
            <a:t>                                            </a:t>
          </a:r>
          <a:endParaRPr lang="zh-CN" altLang="en-US" sz="1400" b="1">
            <a:solidFill>
              <a:sysClr val="windowText" lastClr="000000"/>
            </a:solidFill>
          </a:endParaRPr>
        </a:p>
        <a:p>
          <a:r>
            <a:rPr lang="en-US" altLang="zh-CN" sz="1600" b="1">
              <a:solidFill>
                <a:sysClr val="windowText" lastClr="000000"/>
              </a:solidFill>
            </a:rPr>
            <a:t>JUANCHENG LESHINE HAIR PRODUCTS CO., LTD</a:t>
          </a:r>
          <a:endParaRPr lang="en-US" altLang="zh-CN" sz="1600" b="1">
            <a:solidFill>
              <a:sysClr val="windowText" lastClr="000000"/>
            </a:solidFill>
          </a:endParaRPr>
        </a:p>
        <a:p>
          <a:r>
            <a:rPr lang="en-US" altLang="zh-CN" sz="1400">
              <a:solidFill>
                <a:sysClr val="windowText" lastClr="000000"/>
              </a:solidFill>
              <a:latin typeface="Arial" panose="020B0604020202020204" pitchFamily="7" charset="0"/>
            </a:rPr>
            <a:t>TEL/Fax: +86 532-80922908</a:t>
          </a:r>
          <a:endParaRPr lang="en-US" altLang="zh-CN" sz="1400">
            <a:solidFill>
              <a:sysClr val="windowText" lastClr="000000"/>
            </a:solidFill>
            <a:latin typeface="Arial" panose="020B0604020202020204" pitchFamily="7" charset="0"/>
          </a:endParaRPr>
        </a:p>
        <a:p>
          <a:r>
            <a:rPr lang="en-US" altLang="zh-CN" sz="1400">
              <a:solidFill>
                <a:sysClr val="windowText" lastClr="000000"/>
              </a:solidFill>
              <a:latin typeface="Arial" panose="020B0604020202020204" pitchFamily="7" charset="0"/>
            </a:rPr>
            <a:t>E-Mail: sales@leshinehair.com</a:t>
          </a:r>
          <a:endParaRPr lang="en-US" altLang="zh-CN" sz="1400">
            <a:solidFill>
              <a:sysClr val="windowText" lastClr="000000"/>
            </a:solidFill>
            <a:latin typeface="Arial" panose="020B0604020202020204" pitchFamily="7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400">
              <a:solidFill>
                <a:schemeClr val="dk1"/>
              </a:solidFill>
              <a:latin typeface="Arial" panose="020B0604020202020204" pitchFamily="7" charset="0"/>
              <a:ea typeface="+mn-ea"/>
              <a:cs typeface="+mn-cs"/>
            </a:rPr>
            <a:t>Web:leshinehair.en.alibaba.com</a:t>
          </a:r>
          <a:endParaRPr lang="zh-CN" altLang="zh-CN" sz="1400">
            <a:solidFill>
              <a:schemeClr val="dk1"/>
            </a:solidFill>
            <a:latin typeface="Arial" panose="020B0604020202020204" pitchFamily="7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115570</xdr:colOff>
      <xdr:row>0</xdr:row>
      <xdr:rowOff>133350</xdr:rowOff>
    </xdr:from>
    <xdr:to>
      <xdr:col>7</xdr:col>
      <xdr:colOff>676275</xdr:colOff>
      <xdr:row>4</xdr:row>
      <xdr:rowOff>63500</xdr:rowOff>
    </xdr:to>
    <xdr:sp>
      <xdr:nvSpPr>
        <xdr:cNvPr id="4" name="文本框 3"/>
        <xdr:cNvSpPr txBox="1"/>
      </xdr:nvSpPr>
      <xdr:spPr>
        <a:xfrm>
          <a:off x="6610350" y="133350"/>
          <a:ext cx="1341120" cy="758825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400" b="1" u="sng"/>
            <a:t>Proforma </a:t>
          </a:r>
          <a:endParaRPr lang="en-US" altLang="zh-CN" sz="1400" b="1" u="sng"/>
        </a:p>
        <a:p>
          <a:pPr algn="l"/>
          <a:r>
            <a:rPr lang="en-US" altLang="zh-CN" sz="1400" b="1" u="sng"/>
            <a:t>Invoice</a:t>
          </a:r>
          <a:endParaRPr lang="en-US" altLang="zh-CN" sz="1200" b="1" u="sng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erek@leshinehair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tabSelected="1" topLeftCell="A11" workbookViewId="0">
      <selection activeCell="B19" sqref="B19"/>
    </sheetView>
  </sheetViews>
  <sheetFormatPr defaultColWidth="9" defaultRowHeight="14.3"/>
  <cols>
    <col min="1" max="1" width="3.42477876106195" style="3" customWidth="1"/>
    <col min="2" max="2" width="35.4159292035398" style="4" customWidth="1"/>
    <col min="3" max="3" width="10.7345132743363" style="4" customWidth="1"/>
    <col min="4" max="4" width="22.2654867256637" style="4" customWidth="1"/>
    <col min="5" max="5" width="8.24778761061947" style="4" customWidth="1"/>
    <col min="6" max="6" width="10.4247787610619" style="4" customWidth="1"/>
    <col min="7" max="7" width="10.8761061946903" style="5" customWidth="1"/>
    <col min="8" max="8" width="13.1327433628319" style="4" customWidth="1"/>
  </cols>
  <sheetData>
    <row r="1" ht="18.75" customHeight="1" spans="1:8">
      <c r="A1" s="6" t="s">
        <v>0</v>
      </c>
      <c r="B1" s="6"/>
      <c r="C1" s="6"/>
      <c r="D1" s="6"/>
      <c r="E1" s="6"/>
      <c r="F1" s="6"/>
      <c r="G1" s="6"/>
      <c r="H1" s="6"/>
    </row>
    <row r="2" ht="15.75" customHeight="1" spans="1:8">
      <c r="A2" s="6"/>
      <c r="B2" s="6"/>
      <c r="C2" s="6"/>
      <c r="D2" s="6"/>
      <c r="E2" s="6"/>
      <c r="F2" s="6"/>
      <c r="G2" s="6"/>
      <c r="H2" s="6"/>
    </row>
    <row r="3" ht="17.25" customHeight="1" spans="1:8">
      <c r="A3" s="6"/>
      <c r="B3" s="6"/>
      <c r="C3" s="6"/>
      <c r="D3" s="6"/>
      <c r="E3" s="6"/>
      <c r="F3" s="6"/>
      <c r="G3" s="6"/>
      <c r="H3" s="6"/>
    </row>
    <row r="4" ht="13.5" customHeight="1" spans="1:8">
      <c r="A4" s="6"/>
      <c r="B4" s="6"/>
      <c r="C4" s="6"/>
      <c r="D4" s="6"/>
      <c r="E4" s="6"/>
      <c r="F4" s="6"/>
      <c r="G4" s="6"/>
      <c r="H4" s="6"/>
    </row>
    <row r="5" ht="36" customHeight="1" spans="1:8">
      <c r="A5" s="6"/>
      <c r="B5" s="6"/>
      <c r="C5" s="6"/>
      <c r="D5" s="6"/>
      <c r="E5" s="6"/>
      <c r="F5" s="6"/>
      <c r="G5" s="6"/>
      <c r="H5" s="6"/>
    </row>
    <row r="6" ht="18" customHeight="1" spans="1:8">
      <c r="A6" s="7"/>
      <c r="B6" s="8" t="s">
        <v>1</v>
      </c>
      <c r="C6" s="9"/>
      <c r="D6" s="9"/>
      <c r="E6" s="9"/>
      <c r="F6" s="8" t="s">
        <v>2</v>
      </c>
      <c r="G6" s="10" t="s">
        <v>3</v>
      </c>
      <c r="H6" s="11"/>
    </row>
    <row r="7" ht="21" customHeight="1" spans="1:8">
      <c r="A7" s="12"/>
      <c r="B7" s="8" t="s">
        <v>4</v>
      </c>
      <c r="C7" s="13"/>
      <c r="D7" s="13"/>
      <c r="E7" s="13"/>
      <c r="F7" s="8" t="s">
        <v>5</v>
      </c>
      <c r="G7" s="51" t="s">
        <v>6</v>
      </c>
      <c r="H7" s="15"/>
    </row>
    <row r="8" ht="30" customHeight="1" spans="1:8">
      <c r="A8" s="12"/>
      <c r="B8" s="8" t="s">
        <v>7</v>
      </c>
      <c r="C8" s="16"/>
      <c r="D8" s="17"/>
      <c r="E8" s="17"/>
      <c r="F8" s="18" t="s">
        <v>8</v>
      </c>
      <c r="G8" s="19" t="s">
        <v>9</v>
      </c>
      <c r="H8" s="20"/>
    </row>
    <row r="9" ht="26" customHeight="1" spans="1:8">
      <c r="A9" s="12"/>
      <c r="B9" s="21" t="s">
        <v>10</v>
      </c>
      <c r="C9" s="22"/>
      <c r="D9" s="23"/>
      <c r="E9" s="23"/>
      <c r="F9" s="8" t="s">
        <v>11</v>
      </c>
      <c r="G9" s="24">
        <v>46285</v>
      </c>
      <c r="H9" s="25"/>
    </row>
    <row r="10" ht="45" customHeight="1" spans="1:8">
      <c r="A10" s="12"/>
      <c r="B10" s="26"/>
      <c r="C10" s="23"/>
      <c r="D10" s="23"/>
      <c r="E10" s="23"/>
      <c r="F10" s="27" t="s">
        <v>12</v>
      </c>
      <c r="G10" s="28"/>
      <c r="H10" s="29"/>
    </row>
    <row r="11" ht="48" customHeight="1" spans="1:8">
      <c r="A11" s="30"/>
      <c r="B11" s="31" t="s">
        <v>13</v>
      </c>
      <c r="C11" s="31" t="s">
        <v>14</v>
      </c>
      <c r="D11" s="31" t="s">
        <v>15</v>
      </c>
      <c r="E11" s="31" t="s">
        <v>16</v>
      </c>
      <c r="F11" s="32" t="s">
        <v>17</v>
      </c>
      <c r="G11" s="31" t="s">
        <v>18</v>
      </c>
      <c r="H11" s="31" t="s">
        <v>19</v>
      </c>
    </row>
    <row r="12" s="1" customFormat="1" ht="29" customHeight="1" spans="1:8">
      <c r="A12" s="33">
        <v>1</v>
      </c>
      <c r="B12" s="34" t="s">
        <v>20</v>
      </c>
      <c r="C12" s="35">
        <v>18</v>
      </c>
      <c r="D12" s="35" t="s">
        <v>21</v>
      </c>
      <c r="E12" s="35" t="s">
        <v>22</v>
      </c>
      <c r="F12" s="35">
        <v>3</v>
      </c>
      <c r="G12" s="35">
        <v>29.3</v>
      </c>
      <c r="H12" s="35">
        <f>F12*G12</f>
        <v>87.9</v>
      </c>
    </row>
    <row r="13" s="1" customFormat="1" ht="29" customHeight="1" spans="1:8">
      <c r="A13" s="33">
        <v>2</v>
      </c>
      <c r="B13" s="34" t="s">
        <v>20</v>
      </c>
      <c r="C13" s="35">
        <v>18</v>
      </c>
      <c r="D13" s="35" t="s">
        <v>23</v>
      </c>
      <c r="E13" s="35" t="s">
        <v>22</v>
      </c>
      <c r="F13" s="35">
        <v>3</v>
      </c>
      <c r="G13" s="35">
        <v>27.3</v>
      </c>
      <c r="H13" s="35">
        <f>F13*G13</f>
        <v>81.9</v>
      </c>
    </row>
    <row r="14" s="1" customFormat="1" ht="29" customHeight="1" spans="1:8">
      <c r="A14" s="33">
        <v>3</v>
      </c>
      <c r="B14" s="34" t="s">
        <v>20</v>
      </c>
      <c r="C14" s="35">
        <v>22</v>
      </c>
      <c r="D14" s="35" t="s">
        <v>24</v>
      </c>
      <c r="E14" s="35" t="s">
        <v>22</v>
      </c>
      <c r="F14" s="35">
        <v>4</v>
      </c>
      <c r="G14" s="35">
        <v>39.8</v>
      </c>
      <c r="H14" s="35">
        <f>F14*G14</f>
        <v>159.2</v>
      </c>
    </row>
    <row r="15" s="1" customFormat="1" ht="29" customHeight="1" spans="1:8">
      <c r="A15" s="33">
        <v>4</v>
      </c>
      <c r="B15" s="34" t="s">
        <v>20</v>
      </c>
      <c r="C15" s="35">
        <v>22</v>
      </c>
      <c r="D15" s="35" t="s">
        <v>25</v>
      </c>
      <c r="E15" s="35" t="s">
        <v>22</v>
      </c>
      <c r="F15" s="35">
        <v>4</v>
      </c>
      <c r="G15" s="35">
        <v>41.8</v>
      </c>
      <c r="H15" s="35">
        <f>F15*G15</f>
        <v>167.2</v>
      </c>
    </row>
    <row r="16" s="1" customFormat="1" ht="29" customHeight="1" spans="1:8">
      <c r="A16" s="33"/>
      <c r="B16" s="34"/>
      <c r="C16" s="35"/>
      <c r="D16" s="35"/>
      <c r="E16" s="35"/>
      <c r="F16" s="35"/>
      <c r="G16" s="35"/>
      <c r="H16" s="35"/>
    </row>
    <row r="17" ht="20" spans="1:11">
      <c r="A17" s="30"/>
      <c r="B17" s="36" t="s">
        <v>26</v>
      </c>
      <c r="C17" s="36"/>
      <c r="D17" s="18"/>
      <c r="E17" s="31"/>
      <c r="F17" s="31"/>
      <c r="G17" s="35"/>
      <c r="H17" s="31">
        <f>SUM(H12:H15)</f>
        <v>496.2</v>
      </c>
    </row>
    <row r="18" ht="20" spans="1:11">
      <c r="A18" s="30"/>
      <c r="B18" s="36" t="s">
        <v>27</v>
      </c>
      <c r="C18" s="36"/>
      <c r="D18" s="18"/>
      <c r="E18" s="31"/>
      <c r="F18" s="31"/>
      <c r="G18" s="31"/>
      <c r="H18" s="31">
        <v>38</v>
      </c>
    </row>
    <row r="19" ht="20.65" spans="1:11">
      <c r="A19" s="30"/>
      <c r="B19" s="36" t="s">
        <v>28</v>
      </c>
      <c r="C19" s="37"/>
      <c r="D19" s="38"/>
      <c r="E19" s="38"/>
      <c r="F19" s="38"/>
      <c r="G19" s="39"/>
      <c r="H19" s="40">
        <f>(H17+H18)*0.05</f>
        <v>26.71</v>
      </c>
      <c r="K19" s="41"/>
    </row>
    <row r="20" ht="20.65" spans="1:11">
      <c r="A20" s="42"/>
      <c r="B20" s="36" t="s">
        <v>29</v>
      </c>
      <c r="C20" s="43"/>
      <c r="D20" s="44"/>
      <c r="E20" s="44"/>
      <c r="F20" s="44"/>
      <c r="G20" s="45"/>
      <c r="H20" s="46">
        <f>H17+H18+H19</f>
        <v>560.91</v>
      </c>
      <c r="K20" s="41"/>
    </row>
    <row r="21" s="2" customFormat="1" ht="20.65" spans="1:11">
      <c r="A21" s="47"/>
      <c r="B21" s="48" t="s">
        <v>30</v>
      </c>
      <c r="C21" s="37" t="s">
        <v>31</v>
      </c>
      <c r="D21" s="49"/>
      <c r="E21" s="49"/>
      <c r="F21" s="49"/>
      <c r="G21" s="49"/>
      <c r="H21" s="50"/>
    </row>
    <row r="22" ht="23" customHeight="1"/>
  </sheetData>
  <mergeCells count="14">
    <mergeCell ref="C6:E6"/>
    <mergeCell ref="G6:H6"/>
    <mergeCell ref="C7:E7"/>
    <mergeCell ref="G7:H7"/>
    <mergeCell ref="C8:E8"/>
    <mergeCell ref="G8:H8"/>
    <mergeCell ref="G9:H9"/>
    <mergeCell ref="G10:H10"/>
    <mergeCell ref="C19:G19"/>
    <mergeCell ref="C21:H21"/>
    <mergeCell ref="A6:A11"/>
    <mergeCell ref="B9:B10"/>
    <mergeCell ref="A1:H5"/>
    <mergeCell ref="C9:E10"/>
  </mergeCells>
  <hyperlinks>
    <hyperlink ref="G8" r:id="rId2" display="derek@leshinehair.com"/>
  </hyperlinks>
  <printOptions horizontalCentered="1"/>
  <pageMargins left="0.196527777777778" right="0.196527777777778" top="0.393055555555556" bottom="0.354166666666667" header="0.313888888888889" footer="0.313888888888889"/>
  <pageSetup paperSize="9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28" sqref="F28"/>
    </sheetView>
  </sheetViews>
  <sheetFormatPr defaultColWidth="9" defaultRowHeight="14.3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3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尹德魁</cp:lastModifiedBy>
  <dcterms:created xsi:type="dcterms:W3CDTF">2015-01-25T23:29:00Z</dcterms:created>
  <cp:lastPrinted>2015-09-02T17:23:00Z</cp:lastPrinted>
  <dcterms:modified xsi:type="dcterms:W3CDTF">2026-10-10T08:57:42Z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2052-12.1.0.28802</vt:lpwstr>
  </property>
  <property fmtid="{D5CDD505-2E9C-101B-9397-08002B2CF9AE}" pid="3" name="KSORubyTemplateID" linkTarget="0">
    <vt:lpwstr>14</vt:lpwstr>
  </property>
  <property fmtid="{D5CDD505-2E9C-101B-9397-08002B2CF9AE}" pid="4" name="ICV">
    <vt:lpwstr>1E224B6FC08077163864B76918D96A5A_43</vt:lpwstr>
  </property>
  <property fmtid="{D5CDD505-2E9C-101B-9397-08002B2CF9AE}" pid="5" name="CalculationRule">
    <vt:i4>0</vt:i4>
  </property>
</Properties>
</file>